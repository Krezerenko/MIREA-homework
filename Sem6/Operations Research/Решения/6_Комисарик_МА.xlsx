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rezon\Education\Sem6\Operations Research\Решения\"/>
    </mc:Choice>
  </mc:AlternateContent>
  <xr:revisionPtr revIDLastSave="0" documentId="13_ncr:1_{EEF56AFD-74A2-4D44-AB1B-098F2893556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definedNames>
    <definedName name="solver_adj" localSheetId="0" hidden="1">Лист1!$K$3:$O$5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Лист1!$J$3:$J$5</definedName>
    <definedName name="solver_lhs2" localSheetId="0" hidden="1">Лист1!$K$2:$O$2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Лист1!$D$7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hs1" localSheetId="0" hidden="1">Лист1!$C$3:$C$5</definedName>
    <definedName name="solver_rhs2" localSheetId="0" hidden="1">Лист1!$D$2:$H$2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M2" i="1"/>
  <c r="N2" i="1"/>
  <c r="O2" i="1"/>
  <c r="J4" i="1"/>
  <c r="J5" i="1"/>
  <c r="J3" i="1"/>
  <c r="K2" i="1"/>
  <c r="D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7"/>
  <sheetViews>
    <sheetView tabSelected="1" workbookViewId="0">
      <selection activeCell="I12" sqref="I12"/>
    </sheetView>
  </sheetViews>
  <sheetFormatPr defaultRowHeight="14.5" x14ac:dyDescent="0.35"/>
  <cols>
    <col min="9" max="9" width="9.6328125" customWidth="1"/>
  </cols>
  <sheetData>
    <row r="2" spans="3:15" x14ac:dyDescent="0.35">
      <c r="D2">
        <v>270</v>
      </c>
      <c r="E2">
        <v>150</v>
      </c>
      <c r="F2">
        <v>130</v>
      </c>
      <c r="G2">
        <v>110</v>
      </c>
      <c r="H2">
        <v>190</v>
      </c>
      <c r="K2">
        <f>SUM(K3:K5)</f>
        <v>270</v>
      </c>
      <c r="L2">
        <f t="shared" ref="L2:O2" si="0">SUM(L3:L5)</f>
        <v>150</v>
      </c>
      <c r="M2">
        <f t="shared" si="0"/>
        <v>130</v>
      </c>
      <c r="N2">
        <f t="shared" si="0"/>
        <v>110</v>
      </c>
      <c r="O2">
        <f t="shared" si="0"/>
        <v>190</v>
      </c>
    </row>
    <row r="3" spans="3:15" x14ac:dyDescent="0.35">
      <c r="C3">
        <v>200</v>
      </c>
      <c r="D3">
        <v>10</v>
      </c>
      <c r="E3">
        <v>11</v>
      </c>
      <c r="F3">
        <v>9</v>
      </c>
      <c r="G3">
        <v>15</v>
      </c>
      <c r="H3">
        <v>10</v>
      </c>
      <c r="J3">
        <f>SUM(K3:O3)</f>
        <v>200</v>
      </c>
      <c r="K3">
        <v>50</v>
      </c>
      <c r="L3">
        <v>150</v>
      </c>
      <c r="M3">
        <v>0</v>
      </c>
      <c r="N3">
        <v>0</v>
      </c>
      <c r="O3">
        <v>0</v>
      </c>
    </row>
    <row r="4" spans="3:15" x14ac:dyDescent="0.35">
      <c r="C4">
        <v>350</v>
      </c>
      <c r="D4">
        <v>10</v>
      </c>
      <c r="E4">
        <v>15</v>
      </c>
      <c r="F4">
        <v>13</v>
      </c>
      <c r="G4">
        <v>11</v>
      </c>
      <c r="H4">
        <v>8</v>
      </c>
      <c r="J4">
        <f t="shared" ref="J4:J5" si="1">SUM(K4:O4)</f>
        <v>350</v>
      </c>
      <c r="K4">
        <v>160</v>
      </c>
      <c r="L4">
        <v>0</v>
      </c>
      <c r="M4">
        <v>0</v>
      </c>
      <c r="N4">
        <v>0</v>
      </c>
      <c r="O4">
        <v>190</v>
      </c>
    </row>
    <row r="5" spans="3:15" x14ac:dyDescent="0.35">
      <c r="C5">
        <v>300</v>
      </c>
      <c r="D5">
        <v>14</v>
      </c>
      <c r="E5">
        <v>17</v>
      </c>
      <c r="F5">
        <v>10</v>
      </c>
      <c r="G5">
        <v>11</v>
      </c>
      <c r="H5">
        <v>12</v>
      </c>
      <c r="J5">
        <f t="shared" si="1"/>
        <v>300</v>
      </c>
      <c r="K5">
        <v>60</v>
      </c>
      <c r="L5">
        <v>0</v>
      </c>
      <c r="M5">
        <v>130</v>
      </c>
      <c r="N5">
        <v>110</v>
      </c>
      <c r="O5">
        <v>0</v>
      </c>
    </row>
    <row r="7" spans="3:15" x14ac:dyDescent="0.35">
      <c r="D7">
        <f>SUMPRODUCT(D3:H5,K3:O5)</f>
        <v>8620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krezon</dc:creator>
  <cp:lastModifiedBy>Mike Komi</cp:lastModifiedBy>
  <dcterms:created xsi:type="dcterms:W3CDTF">2015-06-05T18:19:34Z</dcterms:created>
  <dcterms:modified xsi:type="dcterms:W3CDTF">2026-03-22T18:09:49Z</dcterms:modified>
</cp:coreProperties>
</file>